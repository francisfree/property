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D:\projects\property\src\test\resources\document\"/>
    </mc:Choice>
  </mc:AlternateContent>
  <xr:revisionPtr revIDLastSave="0" documentId="13_ncr:1_{22884D1B-9850-471D-90EF-3A0FCEF61BEE}" xr6:coauthVersionLast="47" xr6:coauthVersionMax="47" xr10:uidLastSave="{00000000-0000-0000-0000-000000000000}"/>
  <bookViews>
    <workbookView xWindow="-108" yWindow="-108" windowWidth="23256" windowHeight="12576" xr2:uid="{E2F72DCD-5B18-49F3-9D66-9F2F2426C351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R7" i="1" l="1"/>
  <c r="S7" i="1" s="1"/>
  <c r="N7" i="1"/>
  <c r="H7" i="1"/>
  <c r="T7" i="1" s="1"/>
  <c r="R6" i="1"/>
  <c r="S6" i="1" s="1"/>
  <c r="N6" i="1"/>
  <c r="H6" i="1"/>
  <c r="T6" i="1" s="1"/>
  <c r="R5" i="1"/>
  <c r="S5" i="1" s="1"/>
  <c r="N5" i="1"/>
  <c r="H5" i="1"/>
  <c r="T5" i="1" s="1"/>
  <c r="R4" i="1"/>
  <c r="S4" i="1" s="1"/>
  <c r="T4" i="1" s="1"/>
  <c r="N4" i="1"/>
  <c r="H4" i="1"/>
  <c r="R3" i="1"/>
  <c r="S3" i="1" s="1"/>
  <c r="N3" i="1"/>
  <c r="H3" i="1"/>
  <c r="T3" i="1" s="1"/>
</calcChain>
</file>

<file path=xl/sharedStrings.xml><?xml version="1.0" encoding="utf-8"?>
<sst xmlns="http://schemas.openxmlformats.org/spreadsheetml/2006/main" count="25" uniqueCount="25">
  <si>
    <t xml:space="preserve">Name </t>
  </si>
  <si>
    <t>Mobile number</t>
  </si>
  <si>
    <t>16/8/26</t>
  </si>
  <si>
    <t>23/8/26</t>
  </si>
  <si>
    <t>30/8/26</t>
  </si>
  <si>
    <t>Previous Water unit</t>
  </si>
  <si>
    <t xml:space="preserve">current water unit </t>
  </si>
  <si>
    <t>Price per unt</t>
  </si>
  <si>
    <t>Water bill</t>
  </si>
  <si>
    <t>No.</t>
  </si>
  <si>
    <t xml:space="preserve"> Rent  </t>
  </si>
  <si>
    <t xml:space="preserve">Garbage </t>
  </si>
  <si>
    <t>Total amount paid Previous month</t>
  </si>
  <si>
    <t xml:space="preserve"> Arrears b/f </t>
  </si>
  <si>
    <t>Total Rent</t>
  </si>
  <si>
    <t>Total paid in the month</t>
  </si>
  <si>
    <t xml:space="preserve">Unit Consumes </t>
  </si>
  <si>
    <t>Total Arrears C/F</t>
  </si>
  <si>
    <t>Jane Gatwiri</t>
  </si>
  <si>
    <t>veroniva Mumbua Mulwa ( 9000 end month)</t>
  </si>
  <si>
    <t>John Kamau Mwangi paid by Agnes Kerubo</t>
  </si>
  <si>
    <t>727455388 and 0717311747</t>
  </si>
  <si>
    <t xml:space="preserve">Jacinta Kathure </t>
  </si>
  <si>
    <t>BLOCK C</t>
  </si>
  <si>
    <t xml:space="preserve">Joseph Mbuku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</si>
</sst>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Aptos Narrow"/>
      <family val="2"/>
      <scheme val="minor"/>
    </font>
    <font>
      <b/>
      <sz val="12"/>
      <color theme="1"/>
      <name val="Aptos"/>
      <family val="2"/>
    </font>
    <font>
      <b/>
      <sz val="11"/>
      <color rgb="FF000000"/>
      <name val="Aptos Narrow"/>
      <family val="2"/>
    </font>
    <font>
      <b/>
      <sz val="11"/>
      <color theme="1"/>
      <name val="Aptos Narrow"/>
      <family val="2"/>
      <scheme val="minor"/>
    </font>
    <font>
      <b/>
      <sz val="12"/>
      <color rgb="FF000000"/>
      <name val="Aptos Narrow"/>
      <family val="2"/>
    </font>
    <font>
      <sz val="12"/>
      <color rgb="FF000000"/>
      <name val="Aptos Narrow"/>
      <family val="2"/>
    </font>
  </fonts>
  <fills count="3">
    <fill>
      <patternFill patternType="none"/>
    </fill>
    <fill>
      <patternFill patternType="gray125"/>
    </fill>
    <fill>
      <patternFill patternType="solid">
        <fgColor rgb="FFFFFFFF"/>
        <bgColor indexed="64"/>
      </patternFill>
    </fill>
  </fills>
  <borders count="9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24">
    <xf numFmtId="0" fontId="0" fillId="0" borderId="0" xfId="0"/>
    <xf numFmtId="1" fontId="0" fillId="0" borderId="0" xfId="0" applyNumberFormat="1"/>
    <xf numFmtId="0" fontId="0" fillId="0" borderId="0" xfId="0" applyAlignment="1">
      <alignment horizontal="justify" vertical="justify"/>
    </xf>
    <xf numFmtId="0" fontId="4" fillId="2" borderId="2" xfId="0" applyFont="1" applyFill="1" applyBorder="1" applyAlignment="1">
      <alignment horizontal="justify" vertical="center"/>
    </xf>
    <xf numFmtId="0" fontId="4" fillId="2" borderId="3" xfId="0" applyFont="1" applyFill="1" applyBorder="1" applyAlignment="1">
      <alignment horizontal="justify" vertical="center"/>
    </xf>
    <xf numFmtId="14" fontId="1" fillId="0" borderId="3" xfId="0" applyNumberFormat="1" applyFont="1" applyBorder="1" applyAlignment="1">
      <alignment horizontal="justify" vertical="justify"/>
    </xf>
    <xf numFmtId="0" fontId="1" fillId="0" borderId="3" xfId="0" applyFont="1" applyBorder="1" applyAlignment="1">
      <alignment horizontal="justify" vertical="justify"/>
    </xf>
    <xf numFmtId="0" fontId="2" fillId="2" borderId="3" xfId="0" applyFont="1" applyFill="1" applyBorder="1" applyAlignment="1">
      <alignment horizontal="justify" vertical="center"/>
    </xf>
    <xf numFmtId="0" fontId="2" fillId="2" borderId="4" xfId="0" applyFont="1" applyFill="1" applyBorder="1" applyAlignment="1">
      <alignment horizontal="justify" vertical="center"/>
    </xf>
    <xf numFmtId="0" fontId="5" fillId="2" borderId="5" xfId="0" applyFont="1" applyFill="1" applyBorder="1" applyAlignment="1">
      <alignment horizontal="justify" vertical="center"/>
    </xf>
    <xf numFmtId="0" fontId="5" fillId="2" borderId="6" xfId="0" applyFont="1" applyFill="1" applyBorder="1" applyAlignment="1">
      <alignment horizontal="justify" vertical="center"/>
    </xf>
    <xf numFmtId="3" fontId="5" fillId="2" borderId="6" xfId="0" applyNumberFormat="1" applyFont="1" applyFill="1" applyBorder="1" applyAlignment="1">
      <alignment vertical="center"/>
    </xf>
    <xf numFmtId="0" fontId="5" fillId="2" borderId="6" xfId="0" applyFont="1" applyFill="1" applyBorder="1" applyAlignment="1">
      <alignment vertical="center"/>
    </xf>
    <xf numFmtId="3" fontId="4" fillId="2" borderId="6" xfId="0" applyNumberFormat="1" applyFont="1" applyFill="1" applyBorder="1" applyAlignment="1">
      <alignment vertical="center"/>
    </xf>
    <xf numFmtId="0" fontId="5" fillId="2" borderId="6" xfId="0" applyFont="1" applyFill="1" applyBorder="1" applyAlignment="1">
      <alignment vertical="center" wrapText="1"/>
    </xf>
    <xf numFmtId="0" fontId="4" fillId="2" borderId="6" xfId="0" applyFont="1" applyFill="1" applyBorder="1" applyAlignment="1">
      <alignment vertical="center" wrapText="1"/>
    </xf>
    <xf numFmtId="0" fontId="0" fillId="0" borderId="6" xfId="0" applyBorder="1"/>
    <xf numFmtId="3" fontId="3" fillId="0" borderId="7" xfId="0" applyNumberFormat="1" applyFont="1" applyBorder="1"/>
    <xf numFmtId="0" fontId="5" fillId="2" borderId="8" xfId="0" applyFont="1" applyFill="1" applyBorder="1" applyAlignment="1">
      <alignment horizontal="justify" vertical="center"/>
    </xf>
    <xf numFmtId="0" fontId="5" fillId="2" borderId="1" xfId="0" applyFont="1" applyFill="1" applyBorder="1" applyAlignment="1">
      <alignment horizontal="justify" vertical="center"/>
    </xf>
    <xf numFmtId="3" fontId="5" fillId="2" borderId="1" xfId="0" applyNumberFormat="1" applyFont="1" applyFill="1" applyBorder="1" applyAlignment="1">
      <alignment vertical="center"/>
    </xf>
    <xf numFmtId="0" fontId="5" fillId="2" borderId="1" xfId="0" applyFont="1" applyFill="1" applyBorder="1" applyAlignment="1">
      <alignment vertical="center" wrapText="1"/>
    </xf>
    <xf numFmtId="0" fontId="5" fillId="2" borderId="1" xfId="0" applyFont="1" applyFill="1" applyBorder="1" applyAlignment="1">
      <alignment vertical="center"/>
    </xf>
    <xf numFmtId="0" fontId="3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2997AC-1FF3-48FC-A889-149D8DC39236}">
  <dimension ref="A1:T12"/>
  <sheetViews>
    <sheetView tabSelected="1" workbookViewId="0">
      <selection activeCell="J4" sqref="J4"/>
    </sheetView>
  </sheetViews>
  <sheetFormatPr defaultRowHeight="14.4" x14ac:dyDescent="0.3"/>
  <cols>
    <col min="2" max="2" width="22.109375" style="2" customWidth="1"/>
    <col min="3" max="3" width="13.77734375" style="1" customWidth="1"/>
    <col min="4" max="4" width="7.77734375" customWidth="1"/>
    <col min="5" max="5" width="10.5546875" customWidth="1"/>
    <col min="7" max="7" width="10.109375" customWidth="1"/>
    <col min="8" max="8" width="11.21875" customWidth="1"/>
    <col min="9" max="9" width="10.6640625" customWidth="1"/>
    <col min="10" max="10" width="10.77734375" customWidth="1"/>
    <col min="11" max="12" width="11.21875" customWidth="1"/>
  </cols>
  <sheetData>
    <row r="1" spans="1:20" ht="15" thickBot="1" x14ac:dyDescent="0.35">
      <c r="B1"/>
      <c r="C1"/>
      <c r="H1" s="23" t="s">
        <v>23</v>
      </c>
    </row>
    <row r="2" spans="1:20" ht="78.599999999999994" thickBot="1" x14ac:dyDescent="0.35">
      <c r="A2" s="3" t="s">
        <v>9</v>
      </c>
      <c r="B2" s="4" t="s">
        <v>0</v>
      </c>
      <c r="C2" s="4" t="s">
        <v>1</v>
      </c>
      <c r="D2" s="4" t="s">
        <v>10</v>
      </c>
      <c r="E2" s="4" t="s">
        <v>11</v>
      </c>
      <c r="F2" s="4" t="s">
        <v>12</v>
      </c>
      <c r="G2" s="4" t="s">
        <v>13</v>
      </c>
      <c r="H2" s="4" t="s">
        <v>14</v>
      </c>
      <c r="I2" s="5">
        <v>46236</v>
      </c>
      <c r="J2" s="5">
        <v>46243</v>
      </c>
      <c r="K2" s="6" t="s">
        <v>2</v>
      </c>
      <c r="L2" s="6" t="s">
        <v>3</v>
      </c>
      <c r="M2" s="6" t="s">
        <v>4</v>
      </c>
      <c r="N2" s="7" t="s">
        <v>15</v>
      </c>
      <c r="O2" s="7" t="s">
        <v>5</v>
      </c>
      <c r="P2" s="7" t="s">
        <v>6</v>
      </c>
      <c r="Q2" s="7" t="s">
        <v>7</v>
      </c>
      <c r="R2" s="7" t="s">
        <v>16</v>
      </c>
      <c r="S2" s="7" t="s">
        <v>8</v>
      </c>
      <c r="T2" s="8" t="s">
        <v>17</v>
      </c>
    </row>
    <row r="3" spans="1:20" ht="16.2" thickBot="1" x14ac:dyDescent="0.35">
      <c r="A3" s="9">
        <v>1</v>
      </c>
      <c r="B3" s="10" t="s">
        <v>18</v>
      </c>
      <c r="C3" s="10">
        <v>729557740</v>
      </c>
      <c r="D3" s="11">
        <v>6500</v>
      </c>
      <c r="E3" s="11">
        <v>0</v>
      </c>
      <c r="F3" s="11">
        <v>6500</v>
      </c>
      <c r="G3" s="12">
        <v>0</v>
      </c>
      <c r="H3" s="13">
        <f>D3+E3+G3</f>
        <v>6500</v>
      </c>
      <c r="I3" s="14"/>
      <c r="J3" s="14"/>
      <c r="K3" s="14">
        <v>6500</v>
      </c>
      <c r="L3" s="14"/>
      <c r="M3" s="14"/>
      <c r="N3" s="15">
        <f>I3+J3+K3+L3+M3</f>
        <v>6500</v>
      </c>
      <c r="O3" s="14">
        <v>0</v>
      </c>
      <c r="P3" s="14">
        <v>0</v>
      </c>
      <c r="Q3" s="14">
        <v>155</v>
      </c>
      <c r="R3" s="16">
        <f>P3-O3</f>
        <v>0</v>
      </c>
      <c r="S3" s="16">
        <f>R3*Q3</f>
        <v>0</v>
      </c>
      <c r="T3" s="17">
        <f>H3+S3-N3</f>
        <v>0</v>
      </c>
    </row>
    <row r="4" spans="1:20" ht="47.4" thickBot="1" x14ac:dyDescent="0.35">
      <c r="A4" s="18">
        <v>4</v>
      </c>
      <c r="B4" s="19" t="s">
        <v>19</v>
      </c>
      <c r="C4" s="19">
        <v>716601716</v>
      </c>
      <c r="D4" s="20">
        <v>6500</v>
      </c>
      <c r="E4" s="20">
        <v>100</v>
      </c>
      <c r="F4" s="20">
        <v>8000</v>
      </c>
      <c r="G4" s="20">
        <v>19145</v>
      </c>
      <c r="H4" s="13">
        <f t="shared" ref="H4:H7" si="0">D4+E4+G4</f>
        <v>25745</v>
      </c>
      <c r="I4" s="21">
        <v>0</v>
      </c>
      <c r="J4" s="21">
        <v>0</v>
      </c>
      <c r="K4" s="21">
        <v>0</v>
      </c>
      <c r="L4" s="21">
        <v>0</v>
      </c>
      <c r="M4" s="21">
        <v>0</v>
      </c>
      <c r="N4" s="15">
        <f t="shared" ref="N4:N7" si="1">I4+J4+K4+L4+M4</f>
        <v>0</v>
      </c>
      <c r="O4" s="21">
        <v>35</v>
      </c>
      <c r="P4" s="21">
        <v>37</v>
      </c>
      <c r="Q4" s="14">
        <v>155</v>
      </c>
      <c r="R4" s="16">
        <f t="shared" ref="R4:R7" si="2">P4-O4</f>
        <v>2</v>
      </c>
      <c r="S4" s="16">
        <f t="shared" ref="S4:S7" si="3">R4*Q4</f>
        <v>310</v>
      </c>
      <c r="T4" s="17">
        <f t="shared" ref="T4:T7" si="4">H4+S4-N4</f>
        <v>26055</v>
      </c>
    </row>
    <row r="5" spans="1:20" ht="47.4" thickBot="1" x14ac:dyDescent="0.35">
      <c r="A5" s="18">
        <v>5</v>
      </c>
      <c r="B5" s="19" t="s">
        <v>20</v>
      </c>
      <c r="C5" s="19" t="s">
        <v>21</v>
      </c>
      <c r="D5" s="20">
        <v>6000</v>
      </c>
      <c r="E5" s="20">
        <v>0</v>
      </c>
      <c r="F5" s="22">
        <v>12000</v>
      </c>
      <c r="G5" s="20">
        <v>18000</v>
      </c>
      <c r="H5" s="13">
        <f t="shared" si="0"/>
        <v>24000</v>
      </c>
      <c r="I5" s="21">
        <v>0</v>
      </c>
      <c r="J5" s="21">
        <v>0</v>
      </c>
      <c r="K5" s="21">
        <v>12000</v>
      </c>
      <c r="L5" s="21">
        <v>0</v>
      </c>
      <c r="M5" s="21">
        <v>0</v>
      </c>
      <c r="N5" s="15">
        <f t="shared" si="1"/>
        <v>12000</v>
      </c>
      <c r="O5" s="21"/>
      <c r="P5" s="21"/>
      <c r="Q5" s="14">
        <v>155</v>
      </c>
      <c r="R5" s="16">
        <f t="shared" si="2"/>
        <v>0</v>
      </c>
      <c r="S5" s="16">
        <f t="shared" si="3"/>
        <v>0</v>
      </c>
      <c r="T5" s="17">
        <f t="shared" si="4"/>
        <v>12000</v>
      </c>
    </row>
    <row r="6" spans="1:20" ht="16.2" thickBot="1" x14ac:dyDescent="0.35">
      <c r="A6" s="18">
        <v>6</v>
      </c>
      <c r="B6" s="19" t="s">
        <v>22</v>
      </c>
      <c r="C6" s="19">
        <v>706328271</v>
      </c>
      <c r="D6" s="20">
        <v>6500</v>
      </c>
      <c r="E6" s="20">
        <v>100</v>
      </c>
      <c r="F6" s="22">
        <v>9000</v>
      </c>
      <c r="G6" s="22">
        <v>20235</v>
      </c>
      <c r="H6" s="13">
        <f t="shared" si="0"/>
        <v>26835</v>
      </c>
      <c r="I6" s="21">
        <v>2000</v>
      </c>
      <c r="J6" s="21">
        <v>2000</v>
      </c>
      <c r="K6" s="21">
        <v>2000</v>
      </c>
      <c r="L6" s="21">
        <v>1500</v>
      </c>
      <c r="M6" s="21">
        <v>0</v>
      </c>
      <c r="N6" s="15">
        <f t="shared" si="1"/>
        <v>7500</v>
      </c>
      <c r="O6" s="21">
        <v>62</v>
      </c>
      <c r="P6" s="21">
        <v>66</v>
      </c>
      <c r="Q6" s="14">
        <v>155</v>
      </c>
      <c r="R6" s="16">
        <f t="shared" si="2"/>
        <v>4</v>
      </c>
      <c r="S6" s="16">
        <f t="shared" si="3"/>
        <v>620</v>
      </c>
      <c r="T6" s="17">
        <f t="shared" si="4"/>
        <v>19955</v>
      </c>
    </row>
    <row r="7" spans="1:20" ht="15.6" x14ac:dyDescent="0.3">
      <c r="A7" s="18">
        <v>8</v>
      </c>
      <c r="B7" s="19" t="s">
        <v>24</v>
      </c>
      <c r="C7" s="19">
        <v>710338230</v>
      </c>
      <c r="D7" s="20">
        <v>5000</v>
      </c>
      <c r="E7" s="20">
        <v>100</v>
      </c>
      <c r="F7" s="20">
        <v>4500</v>
      </c>
      <c r="G7" s="22">
        <v>1745</v>
      </c>
      <c r="H7" s="13">
        <f t="shared" si="0"/>
        <v>6845</v>
      </c>
      <c r="I7" s="21">
        <v>1500</v>
      </c>
      <c r="J7" s="21">
        <v>1000</v>
      </c>
      <c r="K7" s="21">
        <v>1000</v>
      </c>
      <c r="L7" s="21">
        <v>1500</v>
      </c>
      <c r="M7" s="21">
        <v>1500</v>
      </c>
      <c r="N7" s="15">
        <f t="shared" si="1"/>
        <v>6500</v>
      </c>
      <c r="O7" s="21">
        <v>57</v>
      </c>
      <c r="P7" s="21">
        <v>61</v>
      </c>
      <c r="Q7" s="14">
        <v>155</v>
      </c>
      <c r="R7" s="16">
        <f t="shared" si="2"/>
        <v>4</v>
      </c>
      <c r="S7" s="16">
        <f t="shared" si="3"/>
        <v>620</v>
      </c>
      <c r="T7" s="17">
        <f t="shared" si="4"/>
        <v>965</v>
      </c>
    </row>
    <row r="8" spans="1:20" x14ac:dyDescent="0.3">
      <c r="B8"/>
      <c r="C8"/>
    </row>
    <row r="9" spans="1:20" x14ac:dyDescent="0.3">
      <c r="B9"/>
      <c r="C9"/>
    </row>
    <row r="10" spans="1:20" x14ac:dyDescent="0.3">
      <c r="B10"/>
      <c r="C10"/>
    </row>
    <row r="11" spans="1:20" x14ac:dyDescent="0.3">
      <c r="B11"/>
      <c r="C11"/>
    </row>
    <row r="12" spans="1:20" x14ac:dyDescent="0.3">
      <c r="B12"/>
      <c r="C12"/>
    </row>
  </sheetData>
  <pageMargins left="0.7" right="0.7" top="0.75" bottom="0.75" header="0.3" footer="0.3"/>
</worksheet>
</file>

<file path=docMetadata/LabelInfo.xml><?xml version="1.0" encoding="utf-8"?>
<clbl:labelList xmlns:clbl="http://schemas.microsoft.com/office/2020/mipLabelMetadata">
  <clbl:label id="{1e396689-5035-49e0-be07-7dfa8fa9a49e}" enabled="1" method="Privileged" siteId="{74347ffe-8392-4a6f-9cd2-4d7371e222a1}" contentBits="0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Nyakianda, Elizabeth</dc:creator>
  <cp:lastModifiedBy>No Reply</cp:lastModifiedBy>
  <dcterms:created xsi:type="dcterms:W3CDTF">2026-08-10T08:29:05Z</dcterms:created>
  <dcterms:modified xsi:type="dcterms:W3CDTF">2026-09-11T09:35:33Z</dcterms:modified>
</cp:coreProperties>
</file>