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property\src\test\resources\document\"/>
    </mc:Choice>
  </mc:AlternateContent>
  <xr:revisionPtr revIDLastSave="0" documentId="13_ncr:1_{4F31D1A0-C7A7-406D-87F1-7850D55DACD4}" xr6:coauthVersionLast="47" xr6:coauthVersionMax="47" xr10:uidLastSave="{00000000-0000-0000-0000-000000000000}"/>
  <bookViews>
    <workbookView xWindow="-108" yWindow="-108" windowWidth="23256" windowHeight="12576" xr2:uid="{E2F72DCD-5B18-49F3-9D66-9F2F2426C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8" i="1" l="1"/>
  <c r="Q8" i="1" s="1"/>
  <c r="L8" i="1"/>
  <c r="P5" i="1"/>
  <c r="Q5" i="1" s="1"/>
  <c r="L5" i="1"/>
  <c r="P2" i="1"/>
  <c r="Q2" i="1" s="1"/>
  <c r="L2" i="1"/>
</calcChain>
</file>

<file path=xl/sharedStrings.xml><?xml version="1.0" encoding="utf-8"?>
<sst xmlns="http://schemas.openxmlformats.org/spreadsheetml/2006/main" count="63" uniqueCount="29">
  <si>
    <t>NO</t>
  </si>
  <si>
    <t xml:space="preserve">Name </t>
  </si>
  <si>
    <t>Mobile number</t>
  </si>
  <si>
    <t>Rent</t>
  </si>
  <si>
    <t>Arrears b/f</t>
  </si>
  <si>
    <t>Jacob kyule( 1/4/26)</t>
  </si>
  <si>
    <t>Agnes Waweru nyaga</t>
  </si>
  <si>
    <t>nil</t>
  </si>
  <si>
    <t>C-</t>
  </si>
  <si>
    <t>T-</t>
  </si>
  <si>
    <t>M</t>
  </si>
  <si>
    <t>Previous month</t>
  </si>
  <si>
    <t>16/8/26</t>
  </si>
  <si>
    <t>23/8/26</t>
  </si>
  <si>
    <t>30/8/26</t>
  </si>
  <si>
    <t>Ann Mwikali (06/06/26)</t>
  </si>
  <si>
    <t>T- 4600</t>
  </si>
  <si>
    <t xml:space="preserve">Total paid in the month </t>
  </si>
  <si>
    <t>Previous Water unit</t>
  </si>
  <si>
    <t xml:space="preserve">current water unit </t>
  </si>
  <si>
    <t>Price per unt</t>
  </si>
  <si>
    <t>Water bill</t>
  </si>
  <si>
    <t>C-6000</t>
  </si>
  <si>
    <t>C-4000</t>
  </si>
  <si>
    <t>C-0</t>
  </si>
  <si>
    <t>C-100</t>
  </si>
  <si>
    <t>C-500</t>
  </si>
  <si>
    <t>T-0</t>
  </si>
  <si>
    <t>M-0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</si>
</sst>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" fontId="0" fillId="0" borderId="0" xfId="0" applyNumberFormat="1"/>
    <xf numFmtId="0" fontId="0" fillId="0" borderId="0" xfId="0" applyAlignment="1">
      <alignment horizontal="justify" vertical="justify"/>
    </xf>
    <xf numFmtId="0" fontId="2" fillId="0" borderId="2" xfId="0" applyFont="1" applyBorder="1" applyAlignment="1">
      <alignment horizontal="justify" vertical="justify"/>
    </xf>
    <xf numFmtId="0" fontId="2" fillId="0" borderId="1" xfId="0" applyFont="1" applyBorder="1" applyAlignment="1">
      <alignment horizontal="justify" vertical="justify"/>
    </xf>
    <xf numFmtId="1" fontId="2" fillId="0" borderId="3" xfId="0" applyNumberFormat="1" applyFont="1" applyBorder="1" applyAlignment="1">
      <alignment horizontal="justify" vertical="justify"/>
    </xf>
    <xf numFmtId="0" fontId="2" fillId="0" borderId="3" xfId="0" applyFont="1" applyBorder="1" applyAlignment="1">
      <alignment horizontal="justify" vertical="justify"/>
    </xf>
    <xf numFmtId="14" fontId="2" fillId="0" borderId="3" xfId="0" applyNumberFormat="1" applyFont="1" applyBorder="1" applyAlignment="1">
      <alignment horizontal="justify" vertical="justify"/>
    </xf>
    <xf numFmtId="14" fontId="2" fillId="0" borderId="1" xfId="0" applyNumberFormat="1" applyFont="1" applyBorder="1" applyAlignment="1">
      <alignment horizontal="justify" vertical="justify"/>
    </xf>
    <xf numFmtId="0" fontId="2" fillId="0" borderId="5" xfId="0" applyFont="1" applyBorder="1" applyAlignment="1">
      <alignment horizontal="justify" vertical="justify"/>
    </xf>
    <xf numFmtId="0" fontId="1" fillId="0" borderId="4" xfId="0" applyFont="1" applyBorder="1" applyAlignment="1">
      <alignment vertical="center"/>
    </xf>
    <xf numFmtId="0" fontId="3" fillId="2" borderId="5" xfId="0" applyFont="1" applyFill="1" applyBorder="1" applyAlignment="1">
      <alignment horizontal="justify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justify" vertical="justify"/>
    </xf>
    <xf numFmtId="1" fontId="1" fillId="0" borderId="4" xfId="0" applyNumberFormat="1" applyFont="1" applyBorder="1" applyAlignment="1">
      <alignment vertical="center"/>
    </xf>
    <xf numFmtId="1" fontId="0" fillId="0" borderId="4" xfId="0" applyNumberFormat="1" applyBorder="1"/>
    <xf numFmtId="3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97AC-1FF3-48FC-A889-149D8DC39236}">
  <dimension ref="A1:Q22"/>
  <sheetViews>
    <sheetView tabSelected="1" workbookViewId="0">
      <selection activeCell="M20" sqref="M20"/>
    </sheetView>
  </sheetViews>
  <sheetFormatPr defaultRowHeight="14.4" x14ac:dyDescent="0.3"/>
  <cols>
    <col min="2" max="2" width="22.109375" style="2" customWidth="1"/>
    <col min="3" max="3" width="13.77734375" style="1" customWidth="1"/>
    <col min="4" max="4" width="7.77734375" customWidth="1"/>
    <col min="5" max="5" width="10.5546875" customWidth="1"/>
    <col min="7" max="7" width="10.109375" customWidth="1"/>
    <col min="8" max="8" width="11.21875" customWidth="1"/>
    <col min="9" max="9" width="10.6640625" customWidth="1"/>
    <col min="10" max="10" width="10.77734375" customWidth="1"/>
    <col min="11" max="12" width="11.21875" customWidth="1"/>
  </cols>
  <sheetData>
    <row r="1" spans="1:17" s="2" customFormat="1" ht="46.8" x14ac:dyDescent="0.3">
      <c r="A1" s="3" t="s">
        <v>0</v>
      </c>
      <c r="B1" s="4" t="s">
        <v>1</v>
      </c>
      <c r="C1" s="5" t="s">
        <v>2</v>
      </c>
      <c r="D1" s="4" t="s">
        <v>3</v>
      </c>
      <c r="E1" s="6" t="s">
        <v>11</v>
      </c>
      <c r="F1" s="4" t="s">
        <v>4</v>
      </c>
      <c r="G1" s="7">
        <v>46061</v>
      </c>
      <c r="H1" s="8">
        <v>46273</v>
      </c>
      <c r="I1" s="6" t="s">
        <v>12</v>
      </c>
      <c r="J1" s="4" t="s">
        <v>13</v>
      </c>
      <c r="K1" s="6" t="s">
        <v>14</v>
      </c>
      <c r="L1" s="9" t="s">
        <v>17</v>
      </c>
      <c r="M1" s="11" t="s">
        <v>18</v>
      </c>
      <c r="N1" s="11" t="s">
        <v>19</v>
      </c>
      <c r="O1" s="11" t="s">
        <v>20</v>
      </c>
      <c r="P1" s="11"/>
      <c r="Q1" s="11" t="s">
        <v>21</v>
      </c>
    </row>
    <row r="2" spans="1:17" ht="15.6" customHeight="1" x14ac:dyDescent="0.3">
      <c r="A2" s="14">
        <v>1</v>
      </c>
      <c r="B2" s="15" t="s">
        <v>15</v>
      </c>
      <c r="C2" s="16">
        <v>712050542</v>
      </c>
      <c r="D2" s="18">
        <v>4500</v>
      </c>
      <c r="E2" s="19"/>
      <c r="F2" s="19"/>
      <c r="G2" s="10" t="s">
        <v>22</v>
      </c>
      <c r="H2" s="10" t="s">
        <v>23</v>
      </c>
      <c r="I2" s="10" t="s">
        <v>24</v>
      </c>
      <c r="J2" s="10" t="s">
        <v>25</v>
      </c>
      <c r="K2" s="10" t="s">
        <v>26</v>
      </c>
      <c r="L2" s="19">
        <f>SUMPRODUCT(IFERROR(--TRIM(SUBSTITUTE(SUBSTITUTE(G2:K4,"C-",""),"T-","")),0))</f>
        <v>0</v>
      </c>
      <c r="M2" s="12">
        <v>1</v>
      </c>
      <c r="N2" s="12">
        <v>2</v>
      </c>
      <c r="O2" s="12">
        <v>150</v>
      </c>
      <c r="P2" s="12">
        <f>N2-M2</f>
        <v>1</v>
      </c>
      <c r="Q2" s="12">
        <f>P2*O2</f>
        <v>150</v>
      </c>
    </row>
    <row r="3" spans="1:17" ht="15.6" x14ac:dyDescent="0.3">
      <c r="A3" s="13"/>
      <c r="B3" s="13"/>
      <c r="C3" s="17"/>
      <c r="D3" s="13"/>
      <c r="E3" s="13"/>
      <c r="F3" s="13"/>
      <c r="G3" s="10" t="s">
        <v>16</v>
      </c>
      <c r="H3" s="10" t="s">
        <v>27</v>
      </c>
      <c r="I3" s="10" t="s">
        <v>27</v>
      </c>
      <c r="J3" s="10" t="s">
        <v>27</v>
      </c>
      <c r="K3" s="10" t="s">
        <v>27</v>
      </c>
      <c r="L3" s="13"/>
      <c r="M3" s="13"/>
      <c r="N3" s="13"/>
      <c r="O3" s="13"/>
      <c r="P3" s="13"/>
      <c r="Q3" s="13"/>
    </row>
    <row r="4" spans="1:17" ht="15.6" x14ac:dyDescent="0.3">
      <c r="A4" s="13"/>
      <c r="B4" s="13"/>
      <c r="C4" s="13"/>
      <c r="D4" s="13"/>
      <c r="E4" s="13"/>
      <c r="F4" s="13"/>
      <c r="G4" s="10" t="s">
        <v>28</v>
      </c>
      <c r="H4" s="10" t="s">
        <v>28</v>
      </c>
      <c r="I4" s="10" t="s">
        <v>28</v>
      </c>
      <c r="J4" s="10" t="s">
        <v>28</v>
      </c>
      <c r="K4" s="10" t="s">
        <v>28</v>
      </c>
      <c r="L4" s="13"/>
      <c r="M4" s="13"/>
      <c r="N4" s="13"/>
      <c r="O4" s="13"/>
      <c r="P4" s="13"/>
      <c r="Q4" s="13"/>
    </row>
    <row r="5" spans="1:17" ht="15.6" x14ac:dyDescent="0.3">
      <c r="A5" s="14">
        <v>2</v>
      </c>
      <c r="B5" s="15" t="s">
        <v>5</v>
      </c>
      <c r="C5" s="16">
        <v>745263342</v>
      </c>
      <c r="D5" s="18">
        <v>4500</v>
      </c>
      <c r="E5" s="19" t="s">
        <v>7</v>
      </c>
      <c r="F5" s="19">
        <v>565</v>
      </c>
      <c r="G5" s="10" t="s">
        <v>8</v>
      </c>
      <c r="H5" s="10" t="s">
        <v>8</v>
      </c>
      <c r="I5" s="10" t="s">
        <v>8</v>
      </c>
      <c r="J5" s="10" t="s">
        <v>8</v>
      </c>
      <c r="K5" s="10" t="s">
        <v>8</v>
      </c>
      <c r="L5" s="19">
        <f>SUMPRODUCT(IFERROR(VALUE(SUBSTITUTE(SUBSTITUTE(G5:K5,"C-",""),"T-","")),0))</f>
        <v>0</v>
      </c>
      <c r="M5" s="12">
        <v>1</v>
      </c>
      <c r="N5" s="12">
        <v>5</v>
      </c>
      <c r="O5" s="12">
        <v>160</v>
      </c>
      <c r="P5" s="12">
        <f>N5-M5</f>
        <v>4</v>
      </c>
      <c r="Q5" s="12">
        <f>P5*O5</f>
        <v>640</v>
      </c>
    </row>
    <row r="6" spans="1:17" ht="15.6" x14ac:dyDescent="0.3">
      <c r="A6" s="13"/>
      <c r="B6" s="13"/>
      <c r="C6" s="17"/>
      <c r="D6" s="13"/>
      <c r="E6" s="13"/>
      <c r="F6" s="13"/>
      <c r="G6" s="10" t="s">
        <v>9</v>
      </c>
      <c r="H6" s="10" t="s">
        <v>9</v>
      </c>
      <c r="I6" s="10" t="s">
        <v>9</v>
      </c>
      <c r="J6" s="10" t="s">
        <v>9</v>
      </c>
      <c r="K6" s="10" t="s">
        <v>9</v>
      </c>
      <c r="L6" s="13"/>
      <c r="M6" s="13"/>
      <c r="N6" s="13"/>
      <c r="O6" s="13"/>
      <c r="P6" s="13"/>
      <c r="Q6" s="13"/>
    </row>
    <row r="7" spans="1:17" ht="15.6" x14ac:dyDescent="0.3">
      <c r="A7" s="13"/>
      <c r="B7" s="13"/>
      <c r="C7" s="13"/>
      <c r="D7" s="13"/>
      <c r="E7" s="13"/>
      <c r="F7" s="13"/>
      <c r="G7" s="10" t="s">
        <v>10</v>
      </c>
      <c r="H7" s="10" t="s">
        <v>10</v>
      </c>
      <c r="I7" s="10" t="s">
        <v>10</v>
      </c>
      <c r="J7" s="10" t="s">
        <v>10</v>
      </c>
      <c r="K7" s="10" t="s">
        <v>10</v>
      </c>
      <c r="L7" s="13"/>
      <c r="M7" s="13"/>
      <c r="N7" s="13"/>
      <c r="O7" s="13"/>
      <c r="P7" s="13"/>
      <c r="Q7" s="13"/>
    </row>
    <row r="8" spans="1:17" ht="15.6" x14ac:dyDescent="0.3">
      <c r="A8" s="14">
        <v>3</v>
      </c>
      <c r="B8" s="15" t="s">
        <v>6</v>
      </c>
      <c r="C8" s="16">
        <v>711752034</v>
      </c>
      <c r="D8" s="19">
        <v>4500</v>
      </c>
      <c r="E8" s="19">
        <v>4750</v>
      </c>
      <c r="F8" s="19">
        <v>-110</v>
      </c>
      <c r="G8" s="10" t="s">
        <v>8</v>
      </c>
      <c r="H8" s="10" t="s">
        <v>8</v>
      </c>
      <c r="I8" s="10" t="s">
        <v>8</v>
      </c>
      <c r="J8" s="10" t="s">
        <v>8</v>
      </c>
      <c r="K8" s="10" t="s">
        <v>8</v>
      </c>
      <c r="L8" s="19">
        <f>SUMPRODUCT(IFERROR(VALUE(SUBSTITUTE(SUBSTITUTE(G8:K8,"C-",""),"T-","")),0))</f>
        <v>0</v>
      </c>
      <c r="M8" s="12">
        <v>1</v>
      </c>
      <c r="N8" s="12">
        <v>2</v>
      </c>
      <c r="O8" s="12">
        <v>150</v>
      </c>
      <c r="P8" s="12">
        <f>N8-M8</f>
        <v>1</v>
      </c>
      <c r="Q8" s="12">
        <f>P8*O8</f>
        <v>150</v>
      </c>
    </row>
    <row r="9" spans="1:17" ht="15.6" x14ac:dyDescent="0.3">
      <c r="A9" s="13"/>
      <c r="B9" s="13"/>
      <c r="C9" s="17"/>
      <c r="D9" s="13"/>
      <c r="E9" s="13"/>
      <c r="F9" s="13"/>
      <c r="G9" s="10" t="s">
        <v>9</v>
      </c>
      <c r="H9" s="10" t="s">
        <v>9</v>
      </c>
      <c r="I9" s="10" t="s">
        <v>9</v>
      </c>
      <c r="J9" s="10" t="s">
        <v>9</v>
      </c>
      <c r="K9" s="10" t="s">
        <v>9</v>
      </c>
      <c r="L9" s="13"/>
      <c r="M9" s="13"/>
      <c r="N9" s="13"/>
      <c r="O9" s="13"/>
      <c r="P9" s="13"/>
      <c r="Q9" s="13"/>
    </row>
    <row r="10" spans="1:17" ht="15.6" x14ac:dyDescent="0.3">
      <c r="A10" s="13"/>
      <c r="B10" s="13"/>
      <c r="C10" s="13"/>
      <c r="D10" s="13"/>
      <c r="E10" s="13"/>
      <c r="F10" s="13"/>
      <c r="G10" s="10" t="s">
        <v>10</v>
      </c>
      <c r="H10" s="10" t="s">
        <v>10</v>
      </c>
      <c r="I10" s="10" t="s">
        <v>10</v>
      </c>
      <c r="J10" s="10" t="s">
        <v>10</v>
      </c>
      <c r="K10" s="10" t="s">
        <v>10</v>
      </c>
      <c r="L10" s="13"/>
      <c r="M10" s="13"/>
      <c r="N10" s="13"/>
      <c r="O10" s="13"/>
      <c r="P10" s="13"/>
      <c r="Q10" s="13"/>
    </row>
    <row r="11" spans="1:17" x14ac:dyDescent="0.3">
      <c r="B11"/>
      <c r="C11"/>
    </row>
    <row r="12" spans="1:17" x14ac:dyDescent="0.3">
      <c r="B12"/>
      <c r="C12"/>
    </row>
    <row r="13" spans="1:17" x14ac:dyDescent="0.3">
      <c r="B13"/>
      <c r="C13"/>
    </row>
    <row r="14" spans="1:17" x14ac:dyDescent="0.3">
      <c r="B14"/>
      <c r="C14"/>
    </row>
    <row r="15" spans="1:17" x14ac:dyDescent="0.3">
      <c r="B15"/>
      <c r="C15"/>
    </row>
    <row r="16" spans="1:17" x14ac:dyDescent="0.3">
      <c r="B16"/>
      <c r="C16"/>
    </row>
    <row r="17" spans="2:3" x14ac:dyDescent="0.3">
      <c r="B17"/>
      <c r="C17"/>
    </row>
    <row r="18" spans="2:3" x14ac:dyDescent="0.3">
      <c r="B18"/>
      <c r="C18"/>
    </row>
    <row r="19" spans="2:3" x14ac:dyDescent="0.3">
      <c r="B19"/>
      <c r="C19"/>
    </row>
    <row r="20" spans="2:3" x14ac:dyDescent="0.3">
      <c r="B20"/>
      <c r="C20"/>
    </row>
    <row r="21" spans="2:3" x14ac:dyDescent="0.3">
      <c r="B21"/>
      <c r="C21"/>
    </row>
    <row r="22" spans="2:3" x14ac:dyDescent="0.3">
      <c r="B22"/>
      <c r="C22"/>
    </row>
  </sheetData>
  <mergeCells count="36">
    <mergeCell ref="F2:F4"/>
    <mergeCell ref="L2:L4"/>
    <mergeCell ref="L5:L7"/>
    <mergeCell ref="L8:L10"/>
    <mergeCell ref="A8:A10"/>
    <mergeCell ref="B8:B10"/>
    <mergeCell ref="C8:C10"/>
    <mergeCell ref="D8:D10"/>
    <mergeCell ref="E8:E10"/>
    <mergeCell ref="F8:F10"/>
    <mergeCell ref="A5:A7"/>
    <mergeCell ref="B5:B7"/>
    <mergeCell ref="C5:C7"/>
    <mergeCell ref="D5:D7"/>
    <mergeCell ref="E5:E7"/>
    <mergeCell ref="F5:F7"/>
    <mergeCell ref="A2:A4"/>
    <mergeCell ref="B2:B4"/>
    <mergeCell ref="C2:C4"/>
    <mergeCell ref="D2:D4"/>
    <mergeCell ref="E2:E4"/>
    <mergeCell ref="Q5:Q7"/>
    <mergeCell ref="Q2:Q4"/>
    <mergeCell ref="Q8:Q10"/>
    <mergeCell ref="M2:M4"/>
    <mergeCell ref="M5:M7"/>
    <mergeCell ref="M8:M10"/>
    <mergeCell ref="N2:N4"/>
    <mergeCell ref="O2:O4"/>
    <mergeCell ref="P2:P4"/>
    <mergeCell ref="N5:N7"/>
    <mergeCell ref="N8:N10"/>
    <mergeCell ref="O8:O10"/>
    <mergeCell ref="P8:P10"/>
    <mergeCell ref="O5:O7"/>
    <mergeCell ref="P5:P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Nyakianda, Elizabeth</dc:creator>
  <cp:lastModifiedBy>No Reply</cp:lastModifiedBy>
  <dcterms:created xsi:type="dcterms:W3CDTF">2026-08-10T08:29:05Z</dcterms:created>
  <dcterms:modified xsi:type="dcterms:W3CDTF">2026-09-03T09:45:19Z</dcterms:modified>
</cp:coreProperties>
</file>